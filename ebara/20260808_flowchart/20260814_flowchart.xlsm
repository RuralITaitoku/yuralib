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rur\relax\yuralib\ebara\20260808_flowchart\"/>
    </mc:Choice>
  </mc:AlternateContent>
  <xr:revisionPtr revIDLastSave="0" documentId="13_ncr:1_{3BC4F447-4B93-489B-B6AC-8EE0A021EA7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進捗" sheetId="1" r:id="rId1"/>
    <sheet name="入力" sheetId="3" r:id="rId2"/>
    <sheet name="出力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A3" i="1" s="1"/>
  <c r="G3" i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G2" i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</calcChain>
</file>

<file path=xl/sharedStrings.xml><?xml version="1.0" encoding="utf-8"?>
<sst xmlns="http://schemas.openxmlformats.org/spreadsheetml/2006/main" count="24" uniqueCount="17">
  <si>
    <t>サンプルスクリプト</t>
    <phoneticPr fontId="1"/>
  </si>
  <si>
    <t>予</t>
    <rPh sb="0" eb="1">
      <t>ヨ</t>
    </rPh>
    <phoneticPr fontId="1"/>
  </si>
  <si>
    <t>実</t>
    <rPh sb="0" eb="1">
      <t>ジツ</t>
    </rPh>
    <phoneticPr fontId="1"/>
  </si>
  <si>
    <t>2026年8月</t>
    <rPh sb="4" eb="5">
      <t>ネン</t>
    </rPh>
    <rPh sb="6" eb="7">
      <t>ガツ</t>
    </rPh>
    <phoneticPr fontId="1"/>
  </si>
  <si>
    <t>項目</t>
    <rPh sb="0" eb="2">
      <t>コウモク</t>
    </rPh>
    <phoneticPr fontId="1"/>
  </si>
  <si>
    <t>test1</t>
    <phoneticPr fontId="1"/>
  </si>
  <si>
    <t>test2</t>
    <phoneticPr fontId="1"/>
  </si>
  <si>
    <t>test3</t>
  </si>
  <si>
    <t>test4</t>
  </si>
  <si>
    <t>test5</t>
  </si>
  <si>
    <t>test6</t>
  </si>
  <si>
    <t>test7</t>
  </si>
  <si>
    <t>test8</t>
  </si>
  <si>
    <t>処理</t>
    <rPh sb="0" eb="2">
      <t>ショリ</t>
    </rPh>
    <phoneticPr fontId="1"/>
  </si>
  <si>
    <t>ラベル</t>
    <phoneticPr fontId="1"/>
  </si>
  <si>
    <t>種類</t>
    <rPh sb="0" eb="2">
      <t>シュルイ</t>
    </rPh>
    <phoneticPr fontId="1"/>
  </si>
  <si>
    <t>内容</t>
    <rPh sb="0" eb="2">
      <t>ナイヨウ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</si>
</sst>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;@"/>
    <numFmt numFmtId="177" formatCode="d;@"/>
    <numFmt numFmtId="178" formatCode="0_);[Red]\(0\)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76" fontId="0" fillId="0" borderId="0" xfId="0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76" fontId="0" fillId="0" borderId="6" xfId="0" applyNumberFormat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176" fontId="0" fillId="2" borderId="0" xfId="0" applyNumberFormat="1" applyFill="1" applyAlignment="1">
      <alignment horizontal="center"/>
    </xf>
    <xf numFmtId="0" fontId="0" fillId="2" borderId="2" xfId="0" applyFill="1" applyBorder="1"/>
    <xf numFmtId="0" fontId="0" fillId="2" borderId="4" xfId="0" applyFill="1" applyBorder="1"/>
    <xf numFmtId="0" fontId="0" fillId="2" borderId="0" xfId="0" applyFill="1"/>
    <xf numFmtId="14" fontId="0" fillId="3" borderId="2" xfId="0" applyNumberFormat="1" applyFill="1" applyBorder="1"/>
    <xf numFmtId="14" fontId="0" fillId="3" borderId="4" xfId="0" applyNumberFormat="1" applyFill="1" applyBorder="1"/>
    <xf numFmtId="176" fontId="0" fillId="0" borderId="10" xfId="0" applyNumberFormat="1" applyBorder="1" applyAlignment="1">
      <alignment horizontal="center"/>
    </xf>
    <xf numFmtId="0" fontId="0" fillId="3" borderId="9" xfId="0" applyFill="1" applyBorder="1"/>
    <xf numFmtId="0" fontId="0" fillId="3" borderId="11" xfId="0" applyFill="1" applyBorder="1"/>
    <xf numFmtId="0" fontId="0" fillId="0" borderId="10" xfId="0" applyBorder="1"/>
    <xf numFmtId="177" fontId="0" fillId="0" borderId="9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2" borderId="2" xfId="0" applyNumberFormat="1" applyFill="1" applyBorder="1" applyAlignment="1">
      <alignment horizontal="center"/>
    </xf>
    <xf numFmtId="177" fontId="0" fillId="0" borderId="2" xfId="0" applyNumberFormat="1" applyBorder="1" applyAlignment="1">
      <alignment horizontal="center"/>
    </xf>
    <xf numFmtId="177" fontId="0" fillId="0" borderId="5" xfId="0" applyNumberFormat="1" applyBorder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9" fontId="0" fillId="0" borderId="2" xfId="0" applyNumberFormat="1" applyBorder="1"/>
    <xf numFmtId="9" fontId="0" fillId="0" borderId="4" xfId="0" applyNumberFormat="1" applyBorder="1"/>
    <xf numFmtId="178" fontId="0" fillId="0" borderId="10" xfId="0" applyNumberFormat="1" applyBorder="1" applyAlignment="1">
      <alignment horizontal="center"/>
    </xf>
    <xf numFmtId="17" fontId="0" fillId="0" borderId="3" xfId="0" quotePrefix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標準" xfId="0" builtinId="0"/>
  </cellStyles>
  <dxfs count="2"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10</xdr:row>
          <xdr:rowOff>104775</xdr:rowOff>
        </xdr:from>
        <xdr:to>
          <xdr:col>5</xdr:col>
          <xdr:colOff>47625</xdr:colOff>
          <xdr:row>12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48" name="楕円 47">
          <a:extLst>
            <a:ext uri="{FF2B5EF4-FFF2-40B4-BE49-F238E27FC236}">
              <a16:creationId xmlns:a16="http://schemas.microsoft.com/office/drawing/2014/main" id="{203D5C76-94D1-9A63-C46B-660E53426732}"/>
            </a:ext>
          </a:extLst>
        </xdr:cNvPr>
        <xdr:cNvSpPr/>
      </xdr:nvSpPr>
      <xdr:spPr>
        <a:xfrm>
          <a:off x="635000" y="635000"/>
          <a:ext cx="1524000" cy="635000"/>
        </a:xfrm>
        <a:prstGeom prst="ellipse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(</a:t>
          </a:r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AF8B5032-EE39-BCC0-4BC3-511F9DD06A18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50" name="ひし形 49">
          <a:extLst>
            <a:ext uri="{FF2B5EF4-FFF2-40B4-BE49-F238E27FC236}">
              <a16:creationId xmlns:a16="http://schemas.microsoft.com/office/drawing/2014/main" id="{D60D39D7-637C-2D7C-3E34-2116922D5DB6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51" name="四角形: 角を丸くする 50">
          <a:extLst>
            <a:ext uri="{FF2B5EF4-FFF2-40B4-BE49-F238E27FC236}">
              <a16:creationId xmlns:a16="http://schemas.microsoft.com/office/drawing/2014/main" id="{3A37EC72-2634-C1AF-5F2E-EA4B83C4296D}"/>
            </a:ext>
          </a:extLst>
        </xdr:cNvPr>
        <xdr:cNvSpPr/>
      </xdr:nvSpPr>
      <xdr:spPr>
        <a:xfrm>
          <a:off x="7112000" y="635000"/>
          <a:ext cx="1524000" cy="635000"/>
        </a:xfrm>
        <a:prstGeom prst="round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5E0836EB-B79E-6FA6-8366-5C4824D0462A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0</xdr:col>
      <xdr:colOff>635000</xdr:colOff>
      <xdr:row>7</xdr:row>
      <xdr:rowOff>111125</xdr:rowOff>
    </xdr:from>
    <xdr:to>
      <xdr:col>3</xdr:col>
      <xdr:colOff>101600</xdr:colOff>
      <xdr:row>10</xdr:row>
      <xdr:rowOff>31750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7690828B-A4CA-568A-299C-219982EDD3F7}"/>
            </a:ext>
          </a:extLst>
        </xdr:cNvPr>
        <xdr:cNvSpPr/>
      </xdr:nvSpPr>
      <xdr:spPr>
        <a:xfrm>
          <a:off x="635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D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54" name="ひし形 53">
          <a:extLst>
            <a:ext uri="{FF2B5EF4-FFF2-40B4-BE49-F238E27FC236}">
              <a16:creationId xmlns:a16="http://schemas.microsoft.com/office/drawing/2014/main" id="{CF30045E-645E-5034-21B8-7777828CE857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55" name="楕円 54">
          <a:extLst>
            <a:ext uri="{FF2B5EF4-FFF2-40B4-BE49-F238E27FC236}">
              <a16:creationId xmlns:a16="http://schemas.microsoft.com/office/drawing/2014/main" id="{01412269-7030-E791-C0F9-41D6950BEB5F}"/>
            </a:ext>
          </a:extLst>
        </xdr:cNvPr>
        <xdr:cNvSpPr/>
      </xdr:nvSpPr>
      <xdr:spPr>
        <a:xfrm>
          <a:off x="11430000" y="635000"/>
          <a:ext cx="1524000" cy="635000"/>
        </a:xfrm>
        <a:prstGeom prst="ellipse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(</a:t>
          </a:r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57" name="直線矢印コネクタ 56">
          <a:extLst>
            <a:ext uri="{FF2B5EF4-FFF2-40B4-BE49-F238E27FC236}">
              <a16:creationId xmlns:a16="http://schemas.microsoft.com/office/drawing/2014/main" id="{CE1EFBBC-90CD-A631-4EFB-50A01CF0DE02}"/>
            </a:ext>
          </a:extLst>
        </xdr:cNvPr>
        <xdr:cNvCxnSpPr>
          <a:stCxn id="49" idx="3"/>
          <a:endCxn id="50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58" name="直線矢印コネクタ 57">
          <a:extLst>
            <a:ext uri="{FF2B5EF4-FFF2-40B4-BE49-F238E27FC236}">
              <a16:creationId xmlns:a16="http://schemas.microsoft.com/office/drawing/2014/main" id="{29F2CFBA-0CAD-55C8-B50F-DB8600C86A51}"/>
            </a:ext>
          </a:extLst>
        </xdr:cNvPr>
        <xdr:cNvCxnSpPr>
          <a:stCxn id="50" idx="3"/>
          <a:endCxn id="51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59" name="直線矢印コネクタ 58">
          <a:extLst>
            <a:ext uri="{FF2B5EF4-FFF2-40B4-BE49-F238E27FC236}">
              <a16:creationId xmlns:a16="http://schemas.microsoft.com/office/drawing/2014/main" id="{843E40A2-B313-C21E-5A74-B8F7369BD2E6}"/>
            </a:ext>
          </a:extLst>
        </xdr:cNvPr>
        <xdr:cNvCxnSpPr>
          <a:stCxn id="50" idx="3"/>
          <a:endCxn id="52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101600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61D3E6EF-0073-A53F-EC88-978C3727E941}"/>
            </a:ext>
          </a:extLst>
        </xdr:cNvPr>
        <xdr:cNvCxnSpPr>
          <a:stCxn id="53" idx="3"/>
          <a:endCxn id="54" idx="1"/>
        </xdr:cNvCxnSpPr>
      </xdr:nvCxnSpPr>
      <xdr:spPr>
        <a:xfrm flipV="1">
          <a:off x="2159000" y="952500"/>
          <a:ext cx="7112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61" name="直線矢印コネクタ 60">
          <a:extLst>
            <a:ext uri="{FF2B5EF4-FFF2-40B4-BE49-F238E27FC236}">
              <a16:creationId xmlns:a16="http://schemas.microsoft.com/office/drawing/2014/main" id="{59FAAFC1-40A9-A33A-5FB9-E1A9A80E4629}"/>
            </a:ext>
          </a:extLst>
        </xdr:cNvPr>
        <xdr:cNvCxnSpPr>
          <a:stCxn id="52" idx="3"/>
          <a:endCxn id="54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3</xdr:row>
      <xdr:rowOff>13619</xdr:rowOff>
    </xdr:from>
    <xdr:to>
      <xdr:col>16</xdr:col>
      <xdr:colOff>680385</xdr:colOff>
      <xdr:row>4</xdr:row>
      <xdr:rowOff>0</xdr:rowOff>
    </xdr:to>
    <xdr:cxnSp macro="">
      <xdr:nvCxnSpPr>
        <xdr:cNvPr id="62" name="直線矢印コネクタ 61">
          <a:extLst>
            <a:ext uri="{FF2B5EF4-FFF2-40B4-BE49-F238E27FC236}">
              <a16:creationId xmlns:a16="http://schemas.microsoft.com/office/drawing/2014/main" id="{FF19A44C-11D6-BB5E-9C9F-44294E2A0213}"/>
            </a:ext>
          </a:extLst>
        </xdr:cNvPr>
        <xdr:cNvCxnSpPr>
          <a:stCxn id="54" idx="3"/>
          <a:endCxn id="55" idx="1"/>
        </xdr:cNvCxnSpPr>
      </xdr:nvCxnSpPr>
      <xdr:spPr>
        <a:xfrm flipV="1">
          <a:off x="10795000" y="727994"/>
          <a:ext cx="858185" cy="224506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0C4EC18B-3481-3510-965A-394F6AA10409}"/>
            </a:ext>
          </a:extLst>
        </xdr:cNvPr>
        <xdr:cNvSpPr/>
      </xdr:nvSpPr>
      <xdr:spPr>
        <a:xfrm>
          <a:off x="635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64" name="正方形/長方形 63">
          <a:extLst>
            <a:ext uri="{FF2B5EF4-FFF2-40B4-BE49-F238E27FC236}">
              <a16:creationId xmlns:a16="http://schemas.microsoft.com/office/drawing/2014/main" id="{E2022889-A3EA-15D9-A712-BF761C39970D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65" name="ひし形 64">
          <a:extLst>
            <a:ext uri="{FF2B5EF4-FFF2-40B4-BE49-F238E27FC236}">
              <a16:creationId xmlns:a16="http://schemas.microsoft.com/office/drawing/2014/main" id="{5F4BC523-6EFE-75FA-3E45-915CFE52AA7A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837F347E-6174-1067-19AB-09A1044412C9}"/>
            </a:ext>
          </a:extLst>
        </xdr:cNvPr>
        <xdr:cNvSpPr/>
      </xdr:nvSpPr>
      <xdr:spPr>
        <a:xfrm>
          <a:off x="7112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21A4EC95-0EC8-2943-D36F-A8CC06911B14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68" name="ひし形 67">
          <a:extLst>
            <a:ext uri="{FF2B5EF4-FFF2-40B4-BE49-F238E27FC236}">
              <a16:creationId xmlns:a16="http://schemas.microsoft.com/office/drawing/2014/main" id="{CF567039-AB8B-3E2E-A2EB-5C5C5D7F2500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69" name="正方形/長方形 68">
          <a:extLst>
            <a:ext uri="{FF2B5EF4-FFF2-40B4-BE49-F238E27FC236}">
              <a16:creationId xmlns:a16="http://schemas.microsoft.com/office/drawing/2014/main" id="{0E3C844F-BB37-F893-3B8A-1876A75B2BFF}"/>
            </a:ext>
          </a:extLst>
        </xdr:cNvPr>
        <xdr:cNvSpPr/>
      </xdr:nvSpPr>
      <xdr:spPr>
        <a:xfrm>
          <a:off x="11430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3</xdr:col>
      <xdr:colOff>101600</xdr:colOff>
      <xdr:row>4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70" name="直線矢印コネクタ 69">
          <a:extLst>
            <a:ext uri="{FF2B5EF4-FFF2-40B4-BE49-F238E27FC236}">
              <a16:creationId xmlns:a16="http://schemas.microsoft.com/office/drawing/2014/main" id="{2B61EC47-8927-4F6E-82BD-B96F437410FC}"/>
            </a:ext>
          </a:extLst>
        </xdr:cNvPr>
        <xdr:cNvCxnSpPr>
          <a:stCxn id="63" idx="3"/>
          <a:endCxn id="64" idx="1"/>
        </xdr:cNvCxnSpPr>
      </xdr:nvCxnSpPr>
      <xdr:spPr>
        <a:xfrm>
          <a:off x="2159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71" name="直線矢印コネクタ 70">
          <a:extLst>
            <a:ext uri="{FF2B5EF4-FFF2-40B4-BE49-F238E27FC236}">
              <a16:creationId xmlns:a16="http://schemas.microsoft.com/office/drawing/2014/main" id="{1C7853BB-DD94-BCBD-ECC2-4D87A22BFB1B}"/>
            </a:ext>
          </a:extLst>
        </xdr:cNvPr>
        <xdr:cNvCxnSpPr>
          <a:stCxn id="64" idx="3"/>
          <a:endCxn id="65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72" name="直線矢印コネクタ 71">
          <a:extLst>
            <a:ext uri="{FF2B5EF4-FFF2-40B4-BE49-F238E27FC236}">
              <a16:creationId xmlns:a16="http://schemas.microsoft.com/office/drawing/2014/main" id="{7FD242F8-53EB-5E1A-F116-F6B45A8E45B8}"/>
            </a:ext>
          </a:extLst>
        </xdr:cNvPr>
        <xdr:cNvCxnSpPr>
          <a:stCxn id="65" idx="3"/>
          <a:endCxn id="66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A95EA7E0-550E-E8DC-293D-BD3651E560A4}"/>
            </a:ext>
          </a:extLst>
        </xdr:cNvPr>
        <xdr:cNvCxnSpPr>
          <a:stCxn id="65" idx="3"/>
          <a:endCxn id="67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4</xdr:row>
      <xdr:rowOff>0</xdr:rowOff>
    </xdr:to>
    <xdr:cxnSp macro="">
      <xdr:nvCxnSpPr>
        <xdr:cNvPr id="74" name="直線矢印コネクタ 73">
          <a:extLst>
            <a:ext uri="{FF2B5EF4-FFF2-40B4-BE49-F238E27FC236}">
              <a16:creationId xmlns:a16="http://schemas.microsoft.com/office/drawing/2014/main" id="{DEC16D23-EDD5-4E64-5801-E07FF60C0F42}"/>
            </a:ext>
          </a:extLst>
        </xdr:cNvPr>
        <xdr:cNvCxnSpPr>
          <a:stCxn id="66" idx="3"/>
          <a:endCxn id="68" idx="1"/>
        </xdr:cNvCxnSpPr>
      </xdr:nvCxnSpPr>
      <xdr:spPr>
        <a:xfrm>
          <a:off x="8636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75" name="直線矢印コネクタ 74">
          <a:extLst>
            <a:ext uri="{FF2B5EF4-FFF2-40B4-BE49-F238E27FC236}">
              <a16:creationId xmlns:a16="http://schemas.microsoft.com/office/drawing/2014/main" id="{375B1CB3-0228-7056-22F9-BDE58D22BA71}"/>
            </a:ext>
          </a:extLst>
        </xdr:cNvPr>
        <xdr:cNvCxnSpPr>
          <a:stCxn id="67" idx="3"/>
          <a:endCxn id="68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4</xdr:row>
      <xdr:rowOff>0</xdr:rowOff>
    </xdr:from>
    <xdr:to>
      <xdr:col>16</xdr:col>
      <xdr:colOff>457200</xdr:colOff>
      <xdr:row>4</xdr:row>
      <xdr:rowOff>0</xdr:rowOff>
    </xdr:to>
    <xdr:cxnSp macro="">
      <xdr:nvCxnSpPr>
        <xdr:cNvPr id="76" name="直線矢印コネクタ 75">
          <a:extLst>
            <a:ext uri="{FF2B5EF4-FFF2-40B4-BE49-F238E27FC236}">
              <a16:creationId xmlns:a16="http://schemas.microsoft.com/office/drawing/2014/main" id="{A26160DC-9BE4-2E11-F061-EEE5410EE741}"/>
            </a:ext>
          </a:extLst>
        </xdr:cNvPr>
        <xdr:cNvCxnSpPr>
          <a:stCxn id="68" idx="3"/>
          <a:endCxn id="69" idx="1"/>
        </xdr:cNvCxnSpPr>
      </xdr:nvCxnSpPr>
      <xdr:spPr>
        <a:xfrm>
          <a:off x="10795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53905-4427-458E-B173-BFB27068C204}"/>
            </a:ext>
          </a:extLst>
        </xdr:cNvPr>
        <xdr:cNvSpPr/>
      </xdr:nvSpPr>
      <xdr:spPr>
        <a:xfrm>
          <a:off x="635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9540861-4E51-7E89-A7C6-3E2A2C28F796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4" name="ひし形 3">
          <a:extLst>
            <a:ext uri="{FF2B5EF4-FFF2-40B4-BE49-F238E27FC236}">
              <a16:creationId xmlns:a16="http://schemas.microsoft.com/office/drawing/2014/main" id="{8B0894BC-0CE8-FD9A-D087-BD037652D086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0B42ABA-4188-9E81-66B0-075B37F5308F}"/>
            </a:ext>
          </a:extLst>
        </xdr:cNvPr>
        <xdr:cNvSpPr/>
      </xdr:nvSpPr>
      <xdr:spPr>
        <a:xfrm>
          <a:off x="7112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12FAF54C-F327-788B-36BF-90886723B098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7" name="ひし形 6">
          <a:extLst>
            <a:ext uri="{FF2B5EF4-FFF2-40B4-BE49-F238E27FC236}">
              <a16:creationId xmlns:a16="http://schemas.microsoft.com/office/drawing/2014/main" id="{FE65FC74-66D3-DD22-2432-AD8E77268F6A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4A8A2994-F68E-C678-6D1C-715403FA29BB}"/>
            </a:ext>
          </a:extLst>
        </xdr:cNvPr>
        <xdr:cNvSpPr/>
      </xdr:nvSpPr>
      <xdr:spPr>
        <a:xfrm>
          <a:off x="11430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3</xdr:col>
      <xdr:colOff>101600</xdr:colOff>
      <xdr:row>4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DB073572-6DDA-A5BC-E268-9C388FC86B10}"/>
            </a:ext>
          </a:extLst>
        </xdr:cNvPr>
        <xdr:cNvCxnSpPr>
          <a:stCxn id="2" idx="3"/>
          <a:endCxn id="3" idx="1"/>
        </xdr:cNvCxnSpPr>
      </xdr:nvCxnSpPr>
      <xdr:spPr>
        <a:xfrm>
          <a:off x="2159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B0ACC683-F697-7F78-3248-09F124853F74}"/>
            </a:ext>
          </a:extLst>
        </xdr:cNvPr>
        <xdr:cNvCxnSpPr>
          <a:stCxn id="3" idx="3"/>
          <a:endCxn id="4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CB1D9362-CA6F-37BB-B7E5-B289E845D0E0}"/>
            </a:ext>
          </a:extLst>
        </xdr:cNvPr>
        <xdr:cNvCxnSpPr>
          <a:stCxn id="4" idx="3"/>
          <a:endCxn id="5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994CE06-C440-BF34-0FAB-2274D43EA973}"/>
            </a:ext>
          </a:extLst>
        </xdr:cNvPr>
        <xdr:cNvCxnSpPr>
          <a:stCxn id="4" idx="3"/>
          <a:endCxn id="6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4</xdr:row>
      <xdr:rowOff>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D22A09A0-C2C4-8421-DEB5-F20A14EBACF0}"/>
            </a:ext>
          </a:extLst>
        </xdr:cNvPr>
        <xdr:cNvCxnSpPr>
          <a:stCxn id="5" idx="3"/>
          <a:endCxn id="7" idx="1"/>
        </xdr:cNvCxnSpPr>
      </xdr:nvCxnSpPr>
      <xdr:spPr>
        <a:xfrm>
          <a:off x="8636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58E30F58-0606-314B-F752-5D307BAEF034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4</xdr:row>
      <xdr:rowOff>0</xdr:rowOff>
    </xdr:from>
    <xdr:to>
      <xdr:col>16</xdr:col>
      <xdr:colOff>457200</xdr:colOff>
      <xdr:row>4</xdr:row>
      <xdr:rowOff>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FA21AB67-E67B-50B9-E7DB-DAE9FD4ABCC3}"/>
            </a:ext>
          </a:extLst>
        </xdr:cNvPr>
        <xdr:cNvCxnSpPr>
          <a:stCxn id="7" idx="3"/>
          <a:endCxn id="8" idx="1"/>
        </xdr:cNvCxnSpPr>
      </xdr:nvCxnSpPr>
      <xdr:spPr>
        <a:xfrm>
          <a:off x="10795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5"/>
  <sheetViews>
    <sheetView workbookViewId="0">
      <selection activeCell="B5" sqref="B5"/>
    </sheetView>
  </sheetViews>
  <sheetFormatPr defaultColWidth="5.625" defaultRowHeight="18.75"/>
  <cols>
    <col min="1" max="1" width="6" style="28" bestFit="1" customWidth="1"/>
    <col min="2" max="2" width="18.875" style="21" bestFit="1" customWidth="1"/>
    <col min="3" max="3" width="3.375" style="21" bestFit="1" customWidth="1"/>
    <col min="4" max="5" width="9.25" bestFit="1" customWidth="1"/>
    <col min="6" max="6" width="3.375" style="10" bestFit="1" customWidth="1"/>
    <col min="7" max="8" width="3.375" style="15" bestFit="1" customWidth="1"/>
    <col min="9" max="15" width="3.5" style="15" bestFit="1" customWidth="1"/>
    <col min="16" max="20" width="3.5" bestFit="1" customWidth="1"/>
    <col min="21" max="22" width="3.5" style="15" bestFit="1" customWidth="1"/>
    <col min="23" max="27" width="3.5" bestFit="1" customWidth="1"/>
    <col min="28" max="29" width="3.5" style="15" bestFit="1" customWidth="1"/>
    <col min="30" max="30" width="3.5" style="11" bestFit="1" customWidth="1"/>
  </cols>
  <sheetData>
    <row r="1" spans="1:53">
      <c r="B1" s="21" t="s">
        <v>4</v>
      </c>
      <c r="F1" s="33" t="s">
        <v>3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5"/>
    </row>
    <row r="2" spans="1:53" s="23" customFormat="1">
      <c r="A2" s="29"/>
      <c r="B2" s="22"/>
      <c r="C2" s="22"/>
      <c r="F2" s="24">
        <v>46241</v>
      </c>
      <c r="G2" s="25">
        <f>F2+1</f>
        <v>46242</v>
      </c>
      <c r="H2" s="25">
        <f t="shared" ref="H2:BA3" si="0">G2+1</f>
        <v>46243</v>
      </c>
      <c r="I2" s="25">
        <f t="shared" si="0"/>
        <v>46244</v>
      </c>
      <c r="J2" s="25">
        <f t="shared" si="0"/>
        <v>46245</v>
      </c>
      <c r="K2" s="25">
        <f t="shared" si="0"/>
        <v>46246</v>
      </c>
      <c r="L2" s="25">
        <f t="shared" si="0"/>
        <v>46247</v>
      </c>
      <c r="M2" s="25">
        <f t="shared" si="0"/>
        <v>46248</v>
      </c>
      <c r="N2" s="25">
        <f t="shared" si="0"/>
        <v>46249</v>
      </c>
      <c r="O2" s="25">
        <f t="shared" si="0"/>
        <v>46250</v>
      </c>
      <c r="P2" s="26">
        <f t="shared" si="0"/>
        <v>46251</v>
      </c>
      <c r="Q2" s="26">
        <f t="shared" si="0"/>
        <v>46252</v>
      </c>
      <c r="R2" s="26">
        <f t="shared" si="0"/>
        <v>46253</v>
      </c>
      <c r="S2" s="26">
        <f t="shared" si="0"/>
        <v>46254</v>
      </c>
      <c r="T2" s="26">
        <f t="shared" si="0"/>
        <v>46255</v>
      </c>
      <c r="U2" s="25">
        <f t="shared" si="0"/>
        <v>46256</v>
      </c>
      <c r="V2" s="25">
        <f t="shared" si="0"/>
        <v>46257</v>
      </c>
      <c r="W2" s="26">
        <f t="shared" si="0"/>
        <v>46258</v>
      </c>
      <c r="X2" s="26">
        <f t="shared" si="0"/>
        <v>46259</v>
      </c>
      <c r="Y2" s="26">
        <f t="shared" si="0"/>
        <v>46260</v>
      </c>
      <c r="Z2" s="26">
        <f t="shared" si="0"/>
        <v>46261</v>
      </c>
      <c r="AA2" s="26">
        <f t="shared" si="0"/>
        <v>46262</v>
      </c>
      <c r="AB2" s="25">
        <f t="shared" si="0"/>
        <v>46263</v>
      </c>
      <c r="AC2" s="25">
        <f t="shared" si="0"/>
        <v>46264</v>
      </c>
      <c r="AD2" s="27">
        <f t="shared" si="0"/>
        <v>46265</v>
      </c>
      <c r="AE2" s="23">
        <f t="shared" si="0"/>
        <v>46266</v>
      </c>
      <c r="AF2" s="23">
        <f t="shared" si="0"/>
        <v>46267</v>
      </c>
      <c r="AG2" s="23">
        <f t="shared" si="0"/>
        <v>46268</v>
      </c>
      <c r="AH2" s="23">
        <f t="shared" si="0"/>
        <v>46269</v>
      </c>
      <c r="AI2" s="23">
        <f t="shared" si="0"/>
        <v>46270</v>
      </c>
      <c r="AJ2" s="23">
        <f t="shared" si="0"/>
        <v>46271</v>
      </c>
      <c r="AK2" s="23">
        <f t="shared" si="0"/>
        <v>46272</v>
      </c>
      <c r="AL2" s="23">
        <f t="shared" si="0"/>
        <v>46273</v>
      </c>
      <c r="AM2" s="23">
        <f t="shared" si="0"/>
        <v>46274</v>
      </c>
      <c r="AN2" s="23">
        <f t="shared" si="0"/>
        <v>46275</v>
      </c>
      <c r="AO2" s="23">
        <f t="shared" si="0"/>
        <v>46276</v>
      </c>
      <c r="AP2" s="23">
        <f t="shared" si="0"/>
        <v>46277</v>
      </c>
      <c r="AQ2" s="23">
        <f t="shared" si="0"/>
        <v>46278</v>
      </c>
      <c r="AR2" s="23">
        <f t="shared" si="0"/>
        <v>46279</v>
      </c>
      <c r="AS2" s="23">
        <f t="shared" si="0"/>
        <v>46280</v>
      </c>
      <c r="AT2" s="23">
        <f t="shared" si="0"/>
        <v>46281</v>
      </c>
      <c r="AU2" s="23">
        <f t="shared" si="0"/>
        <v>46282</v>
      </c>
      <c r="AV2" s="23">
        <f t="shared" si="0"/>
        <v>46283</v>
      </c>
      <c r="AW2" s="23">
        <f t="shared" si="0"/>
        <v>46284</v>
      </c>
      <c r="AX2" s="23">
        <f t="shared" si="0"/>
        <v>46285</v>
      </c>
      <c r="AY2" s="23">
        <f t="shared" si="0"/>
        <v>46286</v>
      </c>
      <c r="AZ2" s="23">
        <f t="shared" si="0"/>
        <v>46287</v>
      </c>
      <c r="BA2" s="23">
        <f t="shared" si="0"/>
        <v>46288</v>
      </c>
    </row>
    <row r="3" spans="1:53" s="1" customFormat="1">
      <c r="A3" s="29">
        <f>SUM(A4:A33)/B3</f>
        <v>0.2</v>
      </c>
      <c r="B3" s="32">
        <f>COUNTA(B4:B33)</f>
        <v>1</v>
      </c>
      <c r="C3" s="18"/>
      <c r="F3" s="6">
        <v>46241</v>
      </c>
      <c r="G3" s="12">
        <f>F3+1</f>
        <v>46242</v>
      </c>
      <c r="H3" s="12">
        <f t="shared" si="0"/>
        <v>46243</v>
      </c>
      <c r="I3" s="12">
        <f t="shared" si="0"/>
        <v>46244</v>
      </c>
      <c r="J3" s="12">
        <f t="shared" si="0"/>
        <v>46245</v>
      </c>
      <c r="K3" s="12">
        <f t="shared" si="0"/>
        <v>46246</v>
      </c>
      <c r="L3" s="12">
        <f t="shared" si="0"/>
        <v>46247</v>
      </c>
      <c r="M3" s="12">
        <f t="shared" si="0"/>
        <v>46248</v>
      </c>
      <c r="N3" s="12">
        <f t="shared" si="0"/>
        <v>46249</v>
      </c>
      <c r="O3" s="12">
        <f t="shared" si="0"/>
        <v>46250</v>
      </c>
      <c r="P3" s="1">
        <f t="shared" si="0"/>
        <v>46251</v>
      </c>
      <c r="Q3" s="1">
        <f t="shared" si="0"/>
        <v>46252</v>
      </c>
      <c r="R3" s="1">
        <f t="shared" si="0"/>
        <v>46253</v>
      </c>
      <c r="S3" s="1">
        <f t="shared" si="0"/>
        <v>46254</v>
      </c>
      <c r="T3" s="1">
        <f t="shared" si="0"/>
        <v>46255</v>
      </c>
      <c r="U3" s="12">
        <f t="shared" si="0"/>
        <v>46256</v>
      </c>
      <c r="V3" s="12">
        <f t="shared" si="0"/>
        <v>46257</v>
      </c>
      <c r="W3" s="1">
        <f t="shared" si="0"/>
        <v>46258</v>
      </c>
      <c r="X3" s="1">
        <f t="shared" si="0"/>
        <v>46259</v>
      </c>
      <c r="Y3" s="1">
        <f t="shared" si="0"/>
        <v>46260</v>
      </c>
      <c r="Z3" s="1">
        <f t="shared" si="0"/>
        <v>46261</v>
      </c>
      <c r="AA3" s="1">
        <f t="shared" si="0"/>
        <v>46262</v>
      </c>
      <c r="AB3" s="12">
        <f t="shared" si="0"/>
        <v>46263</v>
      </c>
      <c r="AC3" s="12">
        <f t="shared" si="0"/>
        <v>46264</v>
      </c>
      <c r="AD3" s="7">
        <f t="shared" si="0"/>
        <v>46265</v>
      </c>
      <c r="AE3" s="1">
        <f t="shared" si="0"/>
        <v>46266</v>
      </c>
      <c r="AF3" s="1">
        <f t="shared" si="0"/>
        <v>46267</v>
      </c>
      <c r="AG3" s="1">
        <f t="shared" si="0"/>
        <v>46268</v>
      </c>
      <c r="AH3" s="1">
        <f t="shared" si="0"/>
        <v>46269</v>
      </c>
      <c r="AI3" s="1">
        <f t="shared" si="0"/>
        <v>46270</v>
      </c>
      <c r="AJ3" s="1">
        <f t="shared" si="0"/>
        <v>46271</v>
      </c>
      <c r="AK3" s="1">
        <f t="shared" si="0"/>
        <v>46272</v>
      </c>
      <c r="AL3" s="1">
        <f t="shared" si="0"/>
        <v>46273</v>
      </c>
      <c r="AM3" s="1">
        <f t="shared" si="0"/>
        <v>46274</v>
      </c>
      <c r="AN3" s="1">
        <f t="shared" si="0"/>
        <v>46275</v>
      </c>
      <c r="AO3" s="1">
        <f t="shared" si="0"/>
        <v>46276</v>
      </c>
      <c r="AP3" s="1">
        <f t="shared" si="0"/>
        <v>46277</v>
      </c>
      <c r="AQ3" s="1">
        <f t="shared" si="0"/>
        <v>46278</v>
      </c>
      <c r="AR3" s="1">
        <f t="shared" si="0"/>
        <v>46279</v>
      </c>
      <c r="AS3" s="1">
        <f t="shared" si="0"/>
        <v>46280</v>
      </c>
      <c r="AT3" s="1">
        <f t="shared" si="0"/>
        <v>46281</v>
      </c>
      <c r="AU3" s="1">
        <f t="shared" si="0"/>
        <v>46282</v>
      </c>
      <c r="AV3" s="1">
        <f t="shared" si="0"/>
        <v>46283</v>
      </c>
      <c r="AW3" s="1">
        <f t="shared" si="0"/>
        <v>46284</v>
      </c>
      <c r="AX3" s="1">
        <f t="shared" si="0"/>
        <v>46285</v>
      </c>
      <c r="AY3" s="1">
        <f t="shared" si="0"/>
        <v>46286</v>
      </c>
      <c r="AZ3" s="1">
        <f t="shared" si="0"/>
        <v>46287</v>
      </c>
      <c r="BA3" s="1">
        <f t="shared" si="0"/>
        <v>46288</v>
      </c>
    </row>
    <row r="4" spans="1:53" s="3" customFormat="1">
      <c r="A4" s="30"/>
      <c r="B4" s="19" t="s">
        <v>0</v>
      </c>
      <c r="C4" s="19" t="s">
        <v>1</v>
      </c>
      <c r="D4" s="16">
        <v>46242</v>
      </c>
      <c r="E4" s="16">
        <v>46243</v>
      </c>
      <c r="F4" s="2"/>
      <c r="G4" s="13"/>
      <c r="H4" s="13"/>
      <c r="I4" s="13"/>
      <c r="J4" s="13"/>
      <c r="K4" s="13"/>
      <c r="L4" s="13"/>
      <c r="M4" s="13"/>
      <c r="N4" s="13"/>
      <c r="O4" s="13"/>
      <c r="U4" s="13"/>
      <c r="V4" s="13"/>
      <c r="AB4" s="13"/>
      <c r="AC4" s="13"/>
      <c r="AD4" s="8"/>
    </row>
    <row r="5" spans="1:53" s="5" customFormat="1">
      <c r="A5" s="31">
        <v>0.2</v>
      </c>
      <c r="B5" s="20"/>
      <c r="C5" s="20" t="s">
        <v>2</v>
      </c>
      <c r="D5" s="17">
        <v>46242</v>
      </c>
      <c r="E5" s="17">
        <v>46242</v>
      </c>
      <c r="F5" s="4"/>
      <c r="G5" s="14"/>
      <c r="H5" s="14"/>
      <c r="I5" s="14"/>
      <c r="J5" s="14"/>
      <c r="K5" s="14"/>
      <c r="L5" s="14"/>
      <c r="M5" s="14"/>
      <c r="N5" s="14"/>
      <c r="O5" s="14"/>
      <c r="U5" s="14"/>
      <c r="V5" s="14"/>
      <c r="AB5" s="14"/>
      <c r="AC5" s="14"/>
      <c r="AD5" s="9"/>
    </row>
  </sheetData>
  <mergeCells count="1">
    <mergeCell ref="F1:AD1"/>
  </mergeCells>
  <phoneticPr fontId="1"/>
  <conditionalFormatting sqref="F4:AD33">
    <cfRule type="expression" dxfId="1" priority="2">
      <formula>AND($C4="予", F$2&gt;=$D4, F$2&lt;=$E4)</formula>
    </cfRule>
  </conditionalFormatting>
  <conditionalFormatting sqref="F4:AD34">
    <cfRule type="expression" dxfId="0" priority="1">
      <formula>AND($C4="実", F$2&gt;=$D4, F$2&lt;=$E4)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D9653-C237-4BBB-A260-66B7F5E28A96}">
  <sheetPr codeName="Sheet3"/>
  <dimension ref="A1:C9"/>
  <sheetViews>
    <sheetView tabSelected="1" workbookViewId="0">
      <selection activeCell="A3" sqref="A3"/>
    </sheetView>
  </sheetViews>
  <sheetFormatPr defaultRowHeight="18.75"/>
  <sheetData>
    <row r="1" spans="1:3">
      <c r="A1" t="s">
        <v>14</v>
      </c>
      <c r="B1" t="s">
        <v>15</v>
      </c>
      <c r="C1" t="s">
        <v>16</v>
      </c>
    </row>
    <row r="2" spans="1:3">
      <c r="B2" t="s">
        <v>13</v>
      </c>
      <c r="C2" t="s">
        <v>5</v>
      </c>
    </row>
    <row r="3" spans="1:3">
      <c r="B3" t="s">
        <v>13</v>
      </c>
      <c r="C3" t="s">
        <v>6</v>
      </c>
    </row>
    <row r="4" spans="1:3">
      <c r="B4" t="s">
        <v>13</v>
      </c>
      <c r="C4" t="s">
        <v>7</v>
      </c>
    </row>
    <row r="5" spans="1:3">
      <c r="B5" t="s">
        <v>13</v>
      </c>
      <c r="C5" t="s">
        <v>8</v>
      </c>
    </row>
    <row r="6" spans="1:3">
      <c r="B6" t="s">
        <v>13</v>
      </c>
      <c r="C6" t="s">
        <v>9</v>
      </c>
    </row>
    <row r="7" spans="1:3">
      <c r="B7" t="s">
        <v>13</v>
      </c>
      <c r="C7" t="s">
        <v>10</v>
      </c>
    </row>
    <row r="8" spans="1:3">
      <c r="B8" t="s">
        <v>13</v>
      </c>
      <c r="C8" t="s">
        <v>11</v>
      </c>
    </row>
    <row r="9" spans="1:3">
      <c r="B9" t="s">
        <v>13</v>
      </c>
      <c r="C9" t="s">
        <v>12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MermaidFlowchart">
                <anchor moveWithCells="1" sizeWithCells="1">
                  <from>
                    <xdr:col>3</xdr:col>
                    <xdr:colOff>285750</xdr:colOff>
                    <xdr:row>10</xdr:row>
                    <xdr:rowOff>104775</xdr:rowOff>
                  </from>
                  <to>
                    <xdr:col>5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73D92-A425-4641-8DF5-FA93F2511E33}">
  <sheetPr codeName="Sheet4"/>
  <dimension ref="A1"/>
  <sheetViews>
    <sheetView workbookViewId="0">
      <selection activeCell="I14" sqref="I14"/>
    </sheetView>
  </sheetViews>
  <sheetFormatPr defaultRowHeight="18.7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進捗</vt:lpstr>
      <vt:lpstr>入力</vt:lpstr>
      <vt:lpstr>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らゆ〜</dc:creator>
  <cp:lastModifiedBy>ゆ〜 ら</cp:lastModifiedBy>
  <dcterms:created xsi:type="dcterms:W3CDTF">2015-06-05T18:19:34Z</dcterms:created>
  <dcterms:modified xsi:type="dcterms:W3CDTF">2026-08-16T00:24:47Z</dcterms:modified>
</cp:coreProperties>
</file>